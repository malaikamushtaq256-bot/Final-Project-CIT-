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Information" sheetId="1" r:id="rId5"/>
    <sheet state="visible" name="Appointments" sheetId="2" r:id="rId6"/>
    <sheet state="visible" name="Billing" sheetId="3" r:id="rId7"/>
    <sheet state="visible" name="Daily Revenue Summary " sheetId="4" r:id="rId8"/>
    <sheet state="visible" name="Doctor Wise Performance" sheetId="5" r:id="rId9"/>
  </sheets>
  <definedNames/>
  <calcPr/>
</workbook>
</file>

<file path=xl/sharedStrings.xml><?xml version="1.0" encoding="utf-8"?>
<sst xmlns="http://schemas.openxmlformats.org/spreadsheetml/2006/main" count="133" uniqueCount="85">
  <si>
    <t>Multi-Sheet Hospital Management System</t>
  </si>
  <si>
    <t>Doctor ID</t>
  </si>
  <si>
    <t>Doctor Name</t>
  </si>
  <si>
    <t>Department</t>
  </si>
  <si>
    <t>Consultation Fee</t>
  </si>
  <si>
    <t>D001</t>
  </si>
  <si>
    <t>Dr. Ahmed Khan</t>
  </si>
  <si>
    <t>Cardiology</t>
  </si>
  <si>
    <t>D002</t>
  </si>
  <si>
    <t>Dr. Fatima Iqbal</t>
  </si>
  <si>
    <t>Orthopedics</t>
  </si>
  <si>
    <t>D003</t>
  </si>
  <si>
    <t>Dr. Ali Raza</t>
  </si>
  <si>
    <t>ENT</t>
  </si>
  <si>
    <t>D004</t>
  </si>
  <si>
    <t>Dr. Sana Malik</t>
  </si>
  <si>
    <t>Dermatology</t>
  </si>
  <si>
    <t>D005</t>
  </si>
  <si>
    <t>Dr. Usman Shah</t>
  </si>
  <si>
    <t>Neurology</t>
  </si>
  <si>
    <t>D006</t>
  </si>
  <si>
    <t>Dr. Ayesha Siddiq</t>
  </si>
  <si>
    <t>Pediatrics</t>
  </si>
  <si>
    <t>D007</t>
  </si>
  <si>
    <t>Dr. Hassan Tariq</t>
  </si>
  <si>
    <t>General Surgery</t>
  </si>
  <si>
    <t>D008</t>
  </si>
  <si>
    <t>Dr. Maria Qureshi</t>
  </si>
  <si>
    <t>Gynecology</t>
  </si>
  <si>
    <t>D009</t>
  </si>
  <si>
    <t>Dr. Imran Aslam</t>
  </si>
  <si>
    <t>D010</t>
  </si>
  <si>
    <t>Dr. Hina Javed</t>
  </si>
  <si>
    <t>D011</t>
  </si>
  <si>
    <t>Dr. Bilal Farooq</t>
  </si>
  <si>
    <t>D012</t>
  </si>
  <si>
    <t>Dr. Samina Riaz</t>
  </si>
  <si>
    <t>Appointment ID</t>
  </si>
  <si>
    <t>Patient Name</t>
  </si>
  <si>
    <t xml:space="preserve"> Appointment Date</t>
  </si>
  <si>
    <t>Appointment Time</t>
  </si>
  <si>
    <t>Arrival Time</t>
  </si>
  <si>
    <t>Delay</t>
  </si>
  <si>
    <t>Status</t>
  </si>
  <si>
    <t>A001</t>
  </si>
  <si>
    <t>Ahmed Ali</t>
  </si>
  <si>
    <t>A002</t>
  </si>
  <si>
    <t>Sara Khan</t>
  </si>
  <si>
    <t>A003</t>
  </si>
  <si>
    <t>Bilal Hussain</t>
  </si>
  <si>
    <t>A004</t>
  </si>
  <si>
    <t>Fatima Noor</t>
  </si>
  <si>
    <t>A005</t>
  </si>
  <si>
    <t>Hassan Ali</t>
  </si>
  <si>
    <t>A006</t>
  </si>
  <si>
    <t>Ayesha Khan</t>
  </si>
  <si>
    <t>A007</t>
  </si>
  <si>
    <t>Zain Malik</t>
  </si>
  <si>
    <t>A008</t>
  </si>
  <si>
    <t>Sana Riaz</t>
  </si>
  <si>
    <t>A009</t>
  </si>
  <si>
    <t>Usman Farooq</t>
  </si>
  <si>
    <t>A010</t>
  </si>
  <si>
    <t>Mariam Shah</t>
  </si>
  <si>
    <t>A011</t>
  </si>
  <si>
    <t>Hina Tariq</t>
  </si>
  <si>
    <t>A012</t>
  </si>
  <si>
    <t>Aliya Siddiq</t>
  </si>
  <si>
    <t>A013</t>
  </si>
  <si>
    <t>Imran Qureshi</t>
  </si>
  <si>
    <t>A014</t>
  </si>
  <si>
    <t>Zara Aslam</t>
  </si>
  <si>
    <t>A015</t>
  </si>
  <si>
    <t>Bilal Javed</t>
  </si>
  <si>
    <t>A016</t>
  </si>
  <si>
    <t>Maria Khan</t>
  </si>
  <si>
    <t>A017</t>
  </si>
  <si>
    <t>Shahzad Farooq</t>
  </si>
  <si>
    <t>A018</t>
  </si>
  <si>
    <t>Lubna Ahmed</t>
  </si>
  <si>
    <t>Doctor Fee</t>
  </si>
  <si>
    <t>Total Bill</t>
  </si>
  <si>
    <t>Date</t>
  </si>
  <si>
    <t>Total Patient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</si>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</sst>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:mm am/pm"/>
    <numFmt numFmtId="166" formatCode="h:mm:ss am/pm"/>
    <numFmt numFmtId="167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Arial"/>
      <scheme val="minor"/>
    </font>
    <font>
      <b/>
      <sz val="16.0"/>
      <color rgb="FF000000"/>
      <name val="Times New Roman"/>
    </font>
    <font>
      <b/>
      <sz val="13.0"/>
      <color theme="1"/>
      <name val="Times New Roman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5">
    <tableStyle count="4" pivot="0" name="Doctor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Daily Revenue Summary 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Doctor Wise Performance-style">
      <tableStyleElement dxfId="12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Revenue Per Doctor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'Doctor Wise Performance'!$D$8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'Doctor Wise Performance'!$C$9:$C$20</c:f>
            </c:strRef>
          </c:cat>
          <c:val>
            <c:numRef>
              <c:f>'Doctor Wise Performance'!$D$9:$D$20</c:f>
              <c:numCache/>
            </c:numRef>
          </c:val>
        </c:ser>
        <c:ser>
          <c:idx val="1"/>
          <c:order val="1"/>
          <c:tx>
            <c:strRef>
              <c:f>'Doctor Wise Performance'!$E$8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'Doctor Wise Performance'!$C$9:$C$20</c:f>
            </c:strRef>
          </c:cat>
          <c:val>
            <c:numRef>
              <c:f>'Doctor Wise Performance'!$E$9:$E$20</c:f>
              <c:numCache/>
            </c:numRef>
          </c:val>
        </c:ser>
        <c:axId val="1882397871"/>
        <c:axId val="795924408"/>
      </c:bar3DChart>
      <c:catAx>
        <c:axId val="188239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Doctor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95924408"/>
      </c:catAx>
      <c:valAx>
        <c:axId val="795924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</a:p>
        </c:txPr>
        <c:crossAx val="1882397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6</xdr:row>
      <xdr:rowOff>161925</xdr:rowOff>
    </xdr:from>
    <xdr:ext cx="4991100" cy="3086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5:F17" displayName="Doctor_Information" name="Doctor_Information" id="1">
  <tableColumns count="4">
    <tableColumn name="Doctor ID" id="1"/>
    <tableColumn name="Doctor Name" id="2"/>
    <tableColumn name="Department" id="3"/>
    <tableColumn name="Consultation Fee" id="4"/>
  </tableColumns>
  <tableStyleInfo name="Doctor Information-style" showColumnStripes="0" showFirstColumn="1" showLastColumn="1" showRowStripes="1"/>
</table>
</file>

<file path=xl/tables/table2.xml><?xml version="1.0" encoding="utf-8"?>
<table xmlns="http://schemas.openxmlformats.org/spreadsheetml/2006/main" ref="B4:I22" displayName="Appointments" name="Appointments" id="2">
  <tableColumns count="8">
    <tableColumn name="Appointment ID" id="1"/>
    <tableColumn name="Patient Name" id="2"/>
    <tableColumn name="Doctor ID" id="3"/>
    <tableColumn name=" Appointment Date" id="4"/>
    <tableColumn name="Appointment Time" id="5"/>
    <tableColumn name="Arrival Time" id="6"/>
    <tableColumn name="Delay" id="7"/>
    <tableColumn name="Status" id="8"/>
  </tableColumns>
  <tableStyleInfo name="Appointments-style" showColumnStripes="0" showFirstColumn="1" showLastColumn="1" showRowStripes="1"/>
</table>
</file>

<file path=xl/tables/table3.xml><?xml version="1.0" encoding="utf-8"?>
<table xmlns="http://schemas.openxmlformats.org/spreadsheetml/2006/main" ref="B3:G21" displayName="Billing" name="Billing" id="3">
  <tableColumns count="6">
    <tableColumn name="Appointment ID" id="1"/>
    <tableColumn name=" Appointment Date" id="2"/>
    <tableColumn name="Patient Name" id="3"/>
    <tableColumn name="Doctor ID" id="4"/>
    <tableColumn name="Doctor Fee" id="5"/>
    <tableColumn name="Total Bill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B4:D9" displayName="Daily_Revenue_Summary" name="Daily_Revenue_Summary" id="4">
  <tableColumns count="3">
    <tableColumn name="Date" id="1"/>
    <tableColumn name="Total Patient" id="2"/>
    <tableColumn name="Total Revenue" id="3"/>
  </tableColumns>
  <tableStyleInfo name="Daily Revenue Summary -style" showColumnStripes="0" showFirstColumn="1" showLastColumn="1" showRowStripes="1"/>
</table>
</file>

<file path=xl/tables/table5.xml><?xml version="1.0" encoding="utf-8"?>
<table xmlns="http://schemas.openxmlformats.org/spreadsheetml/2006/main" ref="C8:E20" displayName="Doctor_Wise_Performance" name="Doctor_Wise_Performance" id="5">
  <tableColumns count="3">
    <tableColumn name="Doctor Name" id="1"/>
    <tableColumn name="Total Patient" id="2"/>
    <tableColumn name="Total Revenue" id="3"/>
  </tableColumns>
  <tableStyleInfo name="Doctor Wise 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15.88"/>
    <col customWidth="1" min="5" max="5" width="16.38"/>
    <col customWidth="1" min="6" max="6" width="22.25"/>
    <col customWidth="1" min="7" max="7" width="2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5" t="s">
        <v>0</v>
      </c>
      <c r="G2" s="4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2"/>
      <c r="B5" s="2"/>
      <c r="C5" s="6" t="s">
        <v>1</v>
      </c>
      <c r="D5" s="7" t="s">
        <v>2</v>
      </c>
      <c r="E5" s="7" t="s">
        <v>3</v>
      </c>
      <c r="F5" s="7" t="s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2"/>
      <c r="C6" s="8" t="s">
        <v>5</v>
      </c>
      <c r="D6" s="9" t="s">
        <v>6</v>
      </c>
      <c r="E6" s="9" t="s">
        <v>7</v>
      </c>
      <c r="F6" s="10">
        <v>2500.0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2"/>
      <c r="C7" s="8" t="s">
        <v>8</v>
      </c>
      <c r="D7" s="9" t="s">
        <v>9</v>
      </c>
      <c r="E7" s="9" t="s">
        <v>10</v>
      </c>
      <c r="F7" s="10">
        <v>1800.0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2"/>
      <c r="C8" s="8" t="s">
        <v>11</v>
      </c>
      <c r="D8" s="9" t="s">
        <v>12</v>
      </c>
      <c r="E8" s="9" t="s">
        <v>13</v>
      </c>
      <c r="F8" s="10">
        <v>1500.0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2"/>
      <c r="C9" s="8" t="s">
        <v>14</v>
      </c>
      <c r="D9" s="9" t="s">
        <v>15</v>
      </c>
      <c r="E9" s="9" t="s">
        <v>16</v>
      </c>
      <c r="F9" s="10">
        <v>2000.0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2"/>
      <c r="C10" s="8" t="s">
        <v>17</v>
      </c>
      <c r="D10" s="9" t="s">
        <v>18</v>
      </c>
      <c r="E10" s="9" t="s">
        <v>19</v>
      </c>
      <c r="F10" s="10">
        <v>3000.0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2"/>
      <c r="C11" s="8" t="s">
        <v>20</v>
      </c>
      <c r="D11" s="9" t="s">
        <v>21</v>
      </c>
      <c r="E11" s="9" t="s">
        <v>22</v>
      </c>
      <c r="F11" s="10">
        <v>1600.0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2"/>
      <c r="C12" s="8" t="s">
        <v>23</v>
      </c>
      <c r="D12" s="9" t="s">
        <v>24</v>
      </c>
      <c r="E12" s="9" t="s">
        <v>25</v>
      </c>
      <c r="F12" s="10">
        <v>2200.0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2"/>
      <c r="C13" s="8" t="s">
        <v>26</v>
      </c>
      <c r="D13" s="9" t="s">
        <v>27</v>
      </c>
      <c r="E13" s="9" t="s">
        <v>28</v>
      </c>
      <c r="F13" s="10">
        <v>2100.0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2"/>
      <c r="C14" s="8" t="s">
        <v>29</v>
      </c>
      <c r="D14" s="9" t="s">
        <v>30</v>
      </c>
      <c r="E14" s="9" t="s">
        <v>7</v>
      </c>
      <c r="F14" s="10">
        <v>2500.0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2"/>
      <c r="C15" s="8" t="s">
        <v>31</v>
      </c>
      <c r="D15" s="9" t="s">
        <v>32</v>
      </c>
      <c r="E15" s="9" t="s">
        <v>10</v>
      </c>
      <c r="F15" s="10">
        <v>1800.0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2"/>
      <c r="C16" s="8" t="s">
        <v>33</v>
      </c>
      <c r="D16" s="9" t="s">
        <v>34</v>
      </c>
      <c r="E16" s="9" t="s">
        <v>13</v>
      </c>
      <c r="F16" s="10">
        <v>1500.0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2"/>
      <c r="C17" s="8" t="s">
        <v>35</v>
      </c>
      <c r="D17" s="9" t="s">
        <v>36</v>
      </c>
      <c r="E17" s="9" t="s">
        <v>16</v>
      </c>
      <c r="F17" s="10">
        <v>2000.0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1"/>
      <c r="E18" s="1"/>
      <c r="F18" s="1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1"/>
      <c r="E19" s="1"/>
      <c r="F19" s="1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1"/>
      <c r="E20" s="1"/>
      <c r="F20" s="1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1"/>
      <c r="E21" s="1"/>
      <c r="F21" s="1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1"/>
      <c r="E22" s="1"/>
      <c r="F22" s="1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1"/>
      <c r="E23" s="1"/>
      <c r="F23" s="1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1"/>
      <c r="E24" s="1"/>
      <c r="F24" s="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1"/>
      <c r="E25" s="1"/>
      <c r="F25" s="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1"/>
      <c r="E26" s="1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1"/>
      <c r="E27" s="1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1"/>
      <c r="E28" s="1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1"/>
      <c r="E29" s="1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1"/>
      <c r="E30" s="1"/>
      <c r="F30" s="2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1"/>
      <c r="E31" s="1"/>
      <c r="F31" s="2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1"/>
      <c r="E32" s="1"/>
      <c r="F32" s="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1"/>
      <c r="E33" s="1"/>
      <c r="F33" s="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1"/>
      <c r="E34" s="1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1"/>
      <c r="E35" s="1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C2:F2"/>
  </mergeCells>
  <dataValidations>
    <dataValidation type="custom" allowBlank="1" showDropDown="1" sqref="F6:F17">
      <formula1>AND(ISNUMBER(F6),(NOT(OR(NOT(ISERROR(DATEVALUE(F6))), AND(ISNUMBER(F6), LEFT(CELL("format", F6))="D")))))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5.63"/>
    <col customWidth="1" min="4" max="4" width="15.75"/>
    <col customWidth="1" min="5" max="5" width="22.75"/>
    <col customWidth="1" min="6" max="6" width="22.63"/>
    <col customWidth="1" min="7" max="7" width="17.88"/>
    <col customWidth="1" min="8" max="8" width="18.13"/>
    <col customWidth="1" min="9" max="9" width="1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3"/>
      <c r="C3" s="13"/>
      <c r="D3" s="13"/>
      <c r="E3" s="13"/>
      <c r="F3" s="13"/>
      <c r="G3" s="13"/>
      <c r="H3" s="13"/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14" t="s">
        <v>37</v>
      </c>
      <c r="C4" s="14" t="s">
        <v>38</v>
      </c>
      <c r="D4" s="14" t="s">
        <v>1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15" t="s">
        <v>44</v>
      </c>
      <c r="C5" s="15" t="s">
        <v>45</v>
      </c>
      <c r="D5" s="15" t="s">
        <v>5</v>
      </c>
      <c r="E5" s="16">
        <v>46063.0</v>
      </c>
      <c r="F5" s="17">
        <v>0.4166666666666667</v>
      </c>
      <c r="G5" s="17">
        <v>0.4166666666666667</v>
      </c>
      <c r="H5" s="18">
        <f>IF(F5="","",G5-F5)</f>
        <v>0</v>
      </c>
      <c r="I5" s="19" t="str">
        <f t="shared" ref="I5:I22" si="1">IF(G5="", "Missed", IF(F5&lt;G5,"Late", "On Time"))</f>
        <v>On Time</v>
      </c>
      <c r="J5" s="2"/>
      <c r="K5" s="20"/>
      <c r="L5" s="2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15" t="s">
        <v>46</v>
      </c>
      <c r="C6" s="15" t="s">
        <v>47</v>
      </c>
      <c r="D6" s="15" t="s">
        <v>8</v>
      </c>
      <c r="E6" s="16">
        <v>46063.0</v>
      </c>
      <c r="F6" s="17">
        <v>0.4583333333333333</v>
      </c>
      <c r="G6" s="17"/>
      <c r="H6" s="18"/>
      <c r="I6" s="19" t="str">
        <f t="shared" si="1"/>
        <v>Missed</v>
      </c>
      <c r="J6" s="2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15" t="s">
        <v>48</v>
      </c>
      <c r="C7" s="15" t="s">
        <v>49</v>
      </c>
      <c r="D7" s="15" t="s">
        <v>11</v>
      </c>
      <c r="E7" s="16">
        <v>46063.0</v>
      </c>
      <c r="F7" s="17">
        <v>0.5</v>
      </c>
      <c r="G7" s="17">
        <v>0.5069444444444444</v>
      </c>
      <c r="H7" s="18">
        <f t="shared" ref="H7:H15" si="2">IF(F7="","",G7-F7)</f>
        <v>0.006944444444</v>
      </c>
      <c r="I7" s="19" t="str">
        <f t="shared" si="1"/>
        <v>Late</v>
      </c>
      <c r="J7" s="2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15" t="s">
        <v>50</v>
      </c>
      <c r="C8" s="15" t="s">
        <v>51</v>
      </c>
      <c r="D8" s="15" t="s">
        <v>14</v>
      </c>
      <c r="E8" s="16">
        <v>46063.0</v>
      </c>
      <c r="F8" s="17">
        <v>0.5416666666666666</v>
      </c>
      <c r="G8" s="17">
        <v>0.5416666666666666</v>
      </c>
      <c r="H8" s="18">
        <f t="shared" si="2"/>
        <v>0</v>
      </c>
      <c r="I8" s="19" t="str">
        <f t="shared" si="1"/>
        <v>On Time</v>
      </c>
      <c r="J8" s="2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15" t="s">
        <v>52</v>
      </c>
      <c r="C9" s="15" t="s">
        <v>53</v>
      </c>
      <c r="D9" s="15" t="s">
        <v>17</v>
      </c>
      <c r="E9" s="16">
        <v>46064.0</v>
      </c>
      <c r="F9" s="17">
        <v>0.4166666666666667</v>
      </c>
      <c r="G9" s="17">
        <v>0.4305555555555556</v>
      </c>
      <c r="H9" s="18">
        <f t="shared" si="2"/>
        <v>0.01388888889</v>
      </c>
      <c r="I9" s="19" t="str">
        <f t="shared" si="1"/>
        <v>Late</v>
      </c>
      <c r="J9" s="2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15" t="s">
        <v>54</v>
      </c>
      <c r="C10" s="15" t="s">
        <v>55</v>
      </c>
      <c r="D10" s="15" t="s">
        <v>20</v>
      </c>
      <c r="E10" s="16">
        <v>46064.0</v>
      </c>
      <c r="F10" s="17">
        <v>0.4583333333333333</v>
      </c>
      <c r="G10" s="17">
        <v>0.4618055555555556</v>
      </c>
      <c r="H10" s="18">
        <f t="shared" si="2"/>
        <v>0.003472222222</v>
      </c>
      <c r="I10" s="19" t="str">
        <f t="shared" si="1"/>
        <v>Late</v>
      </c>
      <c r="J10" s="2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15" t="s">
        <v>56</v>
      </c>
      <c r="C11" s="15" t="s">
        <v>57</v>
      </c>
      <c r="D11" s="15" t="s">
        <v>23</v>
      </c>
      <c r="E11" s="16">
        <v>46064.0</v>
      </c>
      <c r="F11" s="17">
        <v>0.5</v>
      </c>
      <c r="G11" s="17">
        <v>0.5</v>
      </c>
      <c r="H11" s="18">
        <f t="shared" si="2"/>
        <v>0</v>
      </c>
      <c r="I11" s="19" t="str">
        <f t="shared" si="1"/>
        <v>On Time</v>
      </c>
      <c r="J11" s="2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15" t="s">
        <v>58</v>
      </c>
      <c r="C12" s="15" t="s">
        <v>59</v>
      </c>
      <c r="D12" s="15" t="s">
        <v>26</v>
      </c>
      <c r="E12" s="16">
        <v>46064.0</v>
      </c>
      <c r="F12" s="17">
        <v>0.5416666666666666</v>
      </c>
      <c r="G12" s="17">
        <v>0.5486111111111112</v>
      </c>
      <c r="H12" s="18">
        <f t="shared" si="2"/>
        <v>0.006944444444</v>
      </c>
      <c r="I12" s="19" t="str">
        <f t="shared" si="1"/>
        <v>Late</v>
      </c>
      <c r="J12" s="2"/>
      <c r="K12" s="2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15" t="s">
        <v>60</v>
      </c>
      <c r="C13" s="15" t="s">
        <v>61</v>
      </c>
      <c r="D13" s="15" t="s">
        <v>29</v>
      </c>
      <c r="E13" s="16">
        <v>46065.0</v>
      </c>
      <c r="F13" s="17">
        <v>0.4166666666666667</v>
      </c>
      <c r="G13" s="17">
        <v>0.4270833333333333</v>
      </c>
      <c r="H13" s="18">
        <f t="shared" si="2"/>
        <v>0.01041666667</v>
      </c>
      <c r="I13" s="19" t="str">
        <f t="shared" si="1"/>
        <v>Late</v>
      </c>
      <c r="J13" s="2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15" t="s">
        <v>62</v>
      </c>
      <c r="C14" s="15" t="s">
        <v>63</v>
      </c>
      <c r="D14" s="15" t="s">
        <v>31</v>
      </c>
      <c r="E14" s="16">
        <v>46065.0</v>
      </c>
      <c r="F14" s="17">
        <v>0.4583333333333333</v>
      </c>
      <c r="G14" s="17">
        <v>0.4583333333333333</v>
      </c>
      <c r="H14" s="18">
        <f t="shared" si="2"/>
        <v>0</v>
      </c>
      <c r="I14" s="19" t="str">
        <f t="shared" si="1"/>
        <v>On Time</v>
      </c>
      <c r="J14" s="2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15" t="s">
        <v>64</v>
      </c>
      <c r="C15" s="15" t="s">
        <v>65</v>
      </c>
      <c r="D15" s="15" t="s">
        <v>33</v>
      </c>
      <c r="E15" s="16">
        <v>46065.0</v>
      </c>
      <c r="F15" s="17">
        <v>0.5</v>
      </c>
      <c r="G15" s="17">
        <v>0.5034722222222222</v>
      </c>
      <c r="H15" s="18">
        <f t="shared" si="2"/>
        <v>0.003472222222</v>
      </c>
      <c r="I15" s="19" t="str">
        <f t="shared" si="1"/>
        <v>Late</v>
      </c>
      <c r="J15" s="2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15" t="s">
        <v>66</v>
      </c>
      <c r="C16" s="15" t="s">
        <v>67</v>
      </c>
      <c r="D16" s="15" t="s">
        <v>35</v>
      </c>
      <c r="E16" s="16">
        <v>46065.0</v>
      </c>
      <c r="F16" s="17">
        <v>0.5416666666666666</v>
      </c>
      <c r="G16" s="17"/>
      <c r="H16" s="18"/>
      <c r="I16" s="19" t="str">
        <f t="shared" si="1"/>
        <v>Missed</v>
      </c>
      <c r="J16" s="2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15" t="s">
        <v>68</v>
      </c>
      <c r="C17" s="15" t="s">
        <v>69</v>
      </c>
      <c r="D17" s="15" t="s">
        <v>5</v>
      </c>
      <c r="E17" s="16">
        <v>46066.0</v>
      </c>
      <c r="F17" s="17">
        <v>0.4166666666666667</v>
      </c>
      <c r="G17" s="17">
        <v>0.4166666666666667</v>
      </c>
      <c r="H17" s="18">
        <f t="shared" ref="H17:H20" si="3">IF(F17="","",G17-F17)</f>
        <v>0</v>
      </c>
      <c r="I17" s="19" t="str">
        <f t="shared" si="1"/>
        <v>On Time</v>
      </c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15" t="s">
        <v>70</v>
      </c>
      <c r="C18" s="15" t="s">
        <v>71</v>
      </c>
      <c r="D18" s="15" t="s">
        <v>8</v>
      </c>
      <c r="E18" s="16">
        <v>46066.0</v>
      </c>
      <c r="F18" s="17">
        <v>0.4583333333333333</v>
      </c>
      <c r="G18" s="17">
        <v>0.4583333333333333</v>
      </c>
      <c r="H18" s="18">
        <f t="shared" si="3"/>
        <v>0</v>
      </c>
      <c r="I18" s="19" t="str">
        <f t="shared" si="1"/>
        <v>On Time</v>
      </c>
      <c r="J18" s="2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15" t="s">
        <v>72</v>
      </c>
      <c r="C19" s="15" t="s">
        <v>73</v>
      </c>
      <c r="D19" s="15" t="s">
        <v>11</v>
      </c>
      <c r="E19" s="16">
        <v>46066.0</v>
      </c>
      <c r="F19" s="17">
        <v>0.5</v>
      </c>
      <c r="G19" s="17">
        <v>0.5069444444444444</v>
      </c>
      <c r="H19" s="18">
        <f t="shared" si="3"/>
        <v>0.006944444444</v>
      </c>
      <c r="I19" s="19" t="str">
        <f t="shared" si="1"/>
        <v>Late</v>
      </c>
      <c r="J19" s="2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15" t="s">
        <v>74</v>
      </c>
      <c r="C20" s="15" t="s">
        <v>75</v>
      </c>
      <c r="D20" s="15" t="s">
        <v>14</v>
      </c>
      <c r="E20" s="16">
        <v>46066.0</v>
      </c>
      <c r="F20" s="17">
        <v>0.5416666666666666</v>
      </c>
      <c r="G20" s="17">
        <v>0.5416666666666666</v>
      </c>
      <c r="H20" s="18">
        <f t="shared" si="3"/>
        <v>0</v>
      </c>
      <c r="I20" s="19" t="str">
        <f t="shared" si="1"/>
        <v>On Time</v>
      </c>
      <c r="J20" s="2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15" t="s">
        <v>76</v>
      </c>
      <c r="C21" s="15" t="s">
        <v>77</v>
      </c>
      <c r="D21" s="15" t="s">
        <v>17</v>
      </c>
      <c r="E21" s="16">
        <v>46067.0</v>
      </c>
      <c r="F21" s="17">
        <v>0.4166666666666667</v>
      </c>
      <c r="G21" s="17"/>
      <c r="H21" s="18"/>
      <c r="I21" s="19" t="str">
        <f t="shared" si="1"/>
        <v>Missed</v>
      </c>
      <c r="J21" s="2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"/>
      <c r="B22" s="15" t="s">
        <v>78</v>
      </c>
      <c r="C22" s="15" t="s">
        <v>79</v>
      </c>
      <c r="D22" s="15" t="s">
        <v>20</v>
      </c>
      <c r="E22" s="16">
        <v>46067.0</v>
      </c>
      <c r="F22" s="17">
        <v>0.4583333333333333</v>
      </c>
      <c r="G22" s="17">
        <v>0.4583333333333333</v>
      </c>
      <c r="H22" s="18">
        <f>IF(F22="","",G22-F22)</f>
        <v>0</v>
      </c>
      <c r="I22" s="19" t="str">
        <f t="shared" si="1"/>
        <v>On Time</v>
      </c>
      <c r="J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/>
      <c r="C23" s="1"/>
      <c r="D23" s="1"/>
      <c r="E23" s="21"/>
      <c r="F23" s="22"/>
      <c r="G23" s="23"/>
      <c r="H23" s="24"/>
      <c r="I23" s="1"/>
      <c r="J23" s="2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/>
      <c r="C24" s="1"/>
      <c r="D24" s="1"/>
      <c r="E24" s="21"/>
      <c r="F24" s="22"/>
      <c r="G24" s="23"/>
      <c r="H24" s="24"/>
      <c r="I24" s="1"/>
      <c r="J24" s="2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"/>
      <c r="C25" s="1"/>
      <c r="D25" s="1"/>
      <c r="E25" s="21"/>
      <c r="F25" s="22"/>
      <c r="G25" s="23"/>
      <c r="H25" s="24"/>
      <c r="I25" s="1"/>
      <c r="J25" s="2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/>
      <c r="C26" s="1"/>
      <c r="D26" s="1"/>
      <c r="E26" s="21"/>
      <c r="F26" s="22"/>
      <c r="G26" s="23"/>
      <c r="H26" s="24"/>
      <c r="I26" s="1"/>
      <c r="J26" s="2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/>
      <c r="C27" s="1"/>
      <c r="D27" s="1"/>
      <c r="E27" s="21"/>
      <c r="F27" s="22"/>
      <c r="G27" s="23"/>
      <c r="H27" s="24"/>
      <c r="I27" s="1"/>
      <c r="J27" s="2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/>
      <c r="C28" s="1"/>
      <c r="D28" s="1"/>
      <c r="E28" s="21"/>
      <c r="F28" s="22"/>
      <c r="G28" s="23"/>
      <c r="H28" s="24"/>
      <c r="I28" s="1"/>
      <c r="J28" s="2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/>
      <c r="C29" s="1"/>
      <c r="D29" s="1"/>
      <c r="E29" s="21"/>
      <c r="F29" s="22"/>
      <c r="G29" s="23"/>
      <c r="H29" s="24"/>
      <c r="I29" s="1"/>
      <c r="J29" s="2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/>
      <c r="C30" s="1"/>
      <c r="D30" s="1"/>
      <c r="E30" s="21"/>
      <c r="F30" s="22"/>
      <c r="G30" s="23"/>
      <c r="H30" s="24"/>
      <c r="I30" s="1"/>
      <c r="J30" s="2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/>
      <c r="C31" s="1"/>
      <c r="D31" s="1"/>
      <c r="E31" s="21"/>
      <c r="F31" s="22"/>
      <c r="G31" s="25"/>
      <c r="H31" s="24"/>
      <c r="I31" s="1"/>
      <c r="J31" s="2"/>
      <c r="K31" s="2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/>
      <c r="C32" s="1"/>
      <c r="D32" s="1"/>
      <c r="E32" s="21"/>
      <c r="F32" s="22"/>
      <c r="G32" s="23"/>
      <c r="H32" s="24"/>
      <c r="I32" s="1"/>
      <c r="J32" s="2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/>
      <c r="C34" s="1"/>
      <c r="D34" s="1"/>
      <c r="E34" s="1"/>
      <c r="F34" s="21"/>
      <c r="G34" s="26"/>
      <c r="H34" s="26"/>
      <c r="I34" s="27"/>
      <c r="J34" s="2"/>
      <c r="K34" s="28"/>
      <c r="L34" s="2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/>
      <c r="C35" s="1"/>
      <c r="D35" s="1"/>
      <c r="E35" s="1"/>
      <c r="F35" s="21"/>
      <c r="G35" s="26"/>
      <c r="H35" s="26"/>
      <c r="I35" s="27"/>
      <c r="J35" s="2"/>
      <c r="K35" s="28"/>
      <c r="L35" s="2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1"/>
      <c r="D36" s="1"/>
      <c r="E36" s="1"/>
      <c r="F36" s="21"/>
      <c r="G36" s="26"/>
      <c r="H36" s="26"/>
      <c r="I36" s="27"/>
      <c r="J36" s="2"/>
      <c r="K36" s="28"/>
      <c r="L36" s="2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1"/>
      <c r="D37" s="1"/>
      <c r="E37" s="1"/>
      <c r="F37" s="21"/>
      <c r="G37" s="26"/>
      <c r="H37" s="26"/>
      <c r="I37" s="27"/>
      <c r="J37" s="2"/>
      <c r="K37" s="28"/>
      <c r="L37" s="2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1"/>
      <c r="D38" s="1"/>
      <c r="E38" s="1"/>
      <c r="F38" s="21"/>
      <c r="G38" s="26"/>
      <c r="H38" s="26"/>
      <c r="I38" s="27"/>
      <c r="J38" s="2"/>
      <c r="K38" s="28"/>
      <c r="L38" s="2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1"/>
      <c r="D39" s="1"/>
      <c r="E39" s="1"/>
      <c r="F39" s="21"/>
      <c r="G39" s="26"/>
      <c r="H39" s="26"/>
      <c r="I39" s="27"/>
      <c r="J39" s="2"/>
      <c r="K39" s="28"/>
      <c r="L39" s="2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1"/>
      <c r="D40" s="1"/>
      <c r="E40" s="1"/>
      <c r="F40" s="21"/>
      <c r="G40" s="26"/>
      <c r="H40" s="26"/>
      <c r="I40" s="27"/>
      <c r="J40" s="2"/>
      <c r="K40" s="28"/>
      <c r="L40" s="2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1"/>
      <c r="D41" s="1"/>
      <c r="E41" s="1"/>
      <c r="F41" s="21"/>
      <c r="G41" s="26"/>
      <c r="H41" s="26"/>
      <c r="I41" s="27"/>
      <c r="J41" s="2"/>
      <c r="K41" s="28"/>
      <c r="L41" s="2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1"/>
      <c r="D42" s="1"/>
      <c r="E42" s="1"/>
      <c r="F42" s="21"/>
      <c r="G42" s="26"/>
      <c r="H42" s="26"/>
      <c r="I42" s="27"/>
      <c r="J42" s="2"/>
      <c r="K42" s="28"/>
      <c r="L42" s="2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1"/>
      <c r="D43" s="1"/>
      <c r="E43" s="1"/>
      <c r="F43" s="21"/>
      <c r="G43" s="26"/>
      <c r="H43" s="26"/>
      <c r="I43" s="27"/>
      <c r="J43" s="2"/>
      <c r="K43" s="28"/>
      <c r="L43" s="2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1"/>
      <c r="D44" s="1"/>
      <c r="E44" s="1"/>
      <c r="F44" s="21"/>
      <c r="G44" s="26"/>
      <c r="H44" s="26"/>
      <c r="I44" s="27"/>
      <c r="J44" s="2"/>
      <c r="K44" s="28"/>
      <c r="L44" s="2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1"/>
      <c r="D45" s="1"/>
      <c r="E45" s="1"/>
      <c r="F45" s="21"/>
      <c r="G45" s="26"/>
      <c r="H45" s="26"/>
      <c r="I45" s="27"/>
      <c r="J45" s="2"/>
      <c r="K45" s="28"/>
      <c r="L45" s="2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1"/>
      <c r="D46" s="1"/>
      <c r="E46" s="1"/>
      <c r="F46" s="21"/>
      <c r="G46" s="26"/>
      <c r="H46" s="26"/>
      <c r="I46" s="27"/>
      <c r="J46" s="2"/>
      <c r="K46" s="28"/>
      <c r="L46" s="2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1"/>
      <c r="D47" s="1"/>
      <c r="E47" s="1"/>
      <c r="F47" s="21"/>
      <c r="G47" s="26"/>
      <c r="H47" s="26"/>
      <c r="I47" s="27"/>
      <c r="J47" s="2"/>
      <c r="K47" s="28"/>
      <c r="L47" s="2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1"/>
      <c r="D48" s="1"/>
      <c r="E48" s="1"/>
      <c r="F48" s="21"/>
      <c r="G48" s="26"/>
      <c r="H48" s="26"/>
      <c r="I48" s="27"/>
      <c r="J48" s="2"/>
      <c r="K48" s="28"/>
      <c r="L48" s="2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1"/>
      <c r="D49" s="1"/>
      <c r="E49" s="1"/>
      <c r="F49" s="21"/>
      <c r="G49" s="26"/>
      <c r="H49" s="26"/>
      <c r="I49" s="27"/>
      <c r="J49" s="2"/>
      <c r="K49" s="28"/>
      <c r="L49" s="2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1"/>
      <c r="D50" s="1"/>
      <c r="E50" s="1"/>
      <c r="F50" s="21"/>
      <c r="G50" s="26"/>
      <c r="H50" s="26"/>
      <c r="I50" s="27"/>
      <c r="J50" s="2"/>
      <c r="K50" s="28"/>
      <c r="L50" s="2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1"/>
      <c r="D51" s="1"/>
      <c r="E51" s="1"/>
      <c r="F51" s="21"/>
      <c r="G51" s="26"/>
      <c r="H51" s="26"/>
      <c r="I51" s="27"/>
      <c r="J51" s="2"/>
      <c r="K51" s="28"/>
      <c r="L51" s="2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0"/>
      <c r="D566" s="20"/>
      <c r="E566" s="20"/>
      <c r="F566" s="20"/>
      <c r="G566" s="20"/>
      <c r="H566" s="20"/>
      <c r="I566" s="20"/>
      <c r="J566" s="20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H567" s="28"/>
      <c r="I567" s="29"/>
      <c r="J567" s="2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H568" s="28"/>
      <c r="I568" s="29"/>
      <c r="J568" s="2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H569" s="28"/>
      <c r="I569" s="29"/>
      <c r="J569" s="2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H570" s="28"/>
      <c r="I570" s="29"/>
      <c r="J570" s="2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H571" s="28"/>
      <c r="I571" s="29"/>
      <c r="J571" s="2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H572" s="28"/>
      <c r="I572" s="29"/>
      <c r="J572" s="2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H573" s="28"/>
      <c r="I573" s="29"/>
      <c r="J573" s="2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H574" s="28"/>
      <c r="I574" s="29"/>
      <c r="J574" s="2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H575" s="28"/>
      <c r="I575" s="29"/>
      <c r="J575" s="2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H576" s="28"/>
      <c r="I576" s="29"/>
      <c r="J576" s="2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H577" s="28"/>
      <c r="I577" s="29"/>
      <c r="J577" s="2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H578" s="28"/>
      <c r="I578" s="29"/>
      <c r="J578" s="2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H579" s="28"/>
      <c r="I579" s="29"/>
      <c r="J579" s="2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H580" s="28"/>
      <c r="I580" s="29"/>
      <c r="J580" s="2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H581" s="28"/>
      <c r="I581" s="29"/>
      <c r="J581" s="2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H582" s="28"/>
      <c r="I582" s="29"/>
      <c r="J582" s="2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H583" s="28"/>
      <c r="I583" s="29"/>
      <c r="J583" s="2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H584" s="28"/>
      <c r="I584" s="29"/>
      <c r="J584" s="2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H4:H22 I6:I51">
    <cfRule type="cellIs" dxfId="6" priority="1" operator="equal">
      <formula>"Late"</formula>
    </cfRule>
  </conditionalFormatting>
  <conditionalFormatting sqref="H4:H22 I6:I51">
    <cfRule type="cellIs" dxfId="7" priority="2" operator="equal">
      <formula>"on time"</formula>
    </cfRule>
  </conditionalFormatting>
  <conditionalFormatting sqref="H4:H22 I6:I51">
    <cfRule type="cellIs" dxfId="8" priority="3" operator="equal">
      <formula>"Missed"</formula>
    </cfRule>
  </conditionalFormatting>
  <conditionalFormatting sqref="I5:I22 J34:J51">
    <cfRule type="cellIs" dxfId="7" priority="4" operator="equal">
      <formula>"on time"</formula>
    </cfRule>
  </conditionalFormatting>
  <conditionalFormatting sqref="I5:I22 J34:J51">
    <cfRule type="cellIs" dxfId="9" priority="5" operator="equal">
      <formula>"late"</formula>
    </cfRule>
  </conditionalFormatting>
  <conditionalFormatting sqref="I5:I22 J34:J51">
    <cfRule type="cellIs" dxfId="8" priority="6" operator="equal">
      <formula>"missed"</formula>
    </cfRule>
  </conditionalFormatting>
  <dataValidations>
    <dataValidation type="custom" allowBlank="1" showDropDown="1" sqref="F5:H22">
      <formula1>OR(TIMEVALUE(TEXT(F5, "hh:mm:ss"))=F5, AND(ISNUMBER(F5), LEFT(CELL("format", F5))="D"))</formula1>
    </dataValidation>
    <dataValidation type="custom" allowBlank="1" showDropDown="1" sqref="E5:E22">
      <formula1>OR(NOT(ISERROR(DATEVALUE(E5))), AND(ISNUMBER(E5), LEFT(CELL("format", E5))="D"))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2.75"/>
    <col customWidth="1" min="4" max="4" width="15.63"/>
    <col customWidth="1" min="5" max="5" width="15.75"/>
    <col customWidth="1" min="6" max="6" width="16.88"/>
    <col customWidth="1" min="7" max="7" width="15.13"/>
    <col customWidth="1" min="9" max="9" width="11.38"/>
    <col customWidth="1" min="10" max="10" width="17.25"/>
    <col customWidth="1" min="11" max="11" width="18.88"/>
    <col customWidth="1" min="12" max="12" width="16.25"/>
  </cols>
  <sheetData>
    <row r="1">
      <c r="A1" s="2"/>
      <c r="B1" s="1"/>
      <c r="C1" s="30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2"/>
      <c r="B3" s="14" t="s">
        <v>37</v>
      </c>
      <c r="C3" s="14" t="s">
        <v>39</v>
      </c>
      <c r="D3" s="15" t="s">
        <v>38</v>
      </c>
      <c r="E3" s="15" t="s">
        <v>1</v>
      </c>
      <c r="F3" s="15" t="s">
        <v>80</v>
      </c>
      <c r="G3" s="15" t="s">
        <v>81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15" t="s">
        <v>44</v>
      </c>
      <c r="C4" s="31">
        <f>VLOOKUP(B4,Appointments!B4:I22,4)</f>
        <v>46063</v>
      </c>
      <c r="D4" s="15" t="str">
        <f>VLOOKUP(B4,Appointments!B4:I22,2)</f>
        <v>Ahmed Ali</v>
      </c>
      <c r="E4" s="15" t="str">
        <f>VLOOKUP(B4,Appointments!B4:I22,3)</f>
        <v>D001</v>
      </c>
      <c r="F4" s="32">
        <f>VLOOKUP(E4,Doctor_Information[#ALL],4)</f>
        <v>2500</v>
      </c>
      <c r="G4" s="32">
        <f t="shared" ref="G4:G21" si="1">F4</f>
        <v>2500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15" t="s">
        <v>46</v>
      </c>
      <c r="C5" s="31">
        <f>VLOOKUP(B5,Appointments!B5:I23,4)</f>
        <v>46063</v>
      </c>
      <c r="D5" s="15" t="str">
        <f>VLOOKUP(B5,Appointments!B5:I23,2)</f>
        <v>Sara Khan</v>
      </c>
      <c r="E5" s="15" t="str">
        <f>VLOOKUP(B5,Appointments!B5:I23,3)</f>
        <v>D002</v>
      </c>
      <c r="F5" s="33">
        <v>0.0</v>
      </c>
      <c r="G5" s="32">
        <f t="shared" si="1"/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2"/>
      <c r="B6" s="15" t="s">
        <v>48</v>
      </c>
      <c r="C6" s="31">
        <f>VLOOKUP(B6,Appointments!B6:I24,4)</f>
        <v>46063</v>
      </c>
      <c r="D6" s="15" t="str">
        <f>VLOOKUP(B6,Appointments!B6:I24,2)</f>
        <v>Bilal Hussain</v>
      </c>
      <c r="E6" s="15" t="str">
        <f>VLOOKUP(B6,Appointments!B6:I24,3)</f>
        <v>D003</v>
      </c>
      <c r="F6" s="32">
        <f>VLOOKUP(E6,Doctor_Information[#ALL],4)</f>
        <v>1500</v>
      </c>
      <c r="G6" s="32">
        <f t="shared" si="1"/>
        <v>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15" t="s">
        <v>50</v>
      </c>
      <c r="C7" s="31">
        <f>VLOOKUP(B7,Appointments!B7:I25,4)</f>
        <v>46063</v>
      </c>
      <c r="D7" s="15" t="str">
        <f>VLOOKUP(B7,Appointments!B7:I25,2)</f>
        <v>Fatima Noor</v>
      </c>
      <c r="E7" s="15" t="str">
        <f>VLOOKUP(B7,Appointments!B7:I25,3)</f>
        <v>D004</v>
      </c>
      <c r="F7" s="32">
        <f>VLOOKUP(E7,Doctor_Information[#ALL],4)</f>
        <v>2000</v>
      </c>
      <c r="G7" s="32">
        <f t="shared" si="1"/>
        <v>2000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15" t="s">
        <v>52</v>
      </c>
      <c r="C8" s="31">
        <f>VLOOKUP(B8,Appointments!B8:I26,4)</f>
        <v>46064</v>
      </c>
      <c r="D8" s="15" t="str">
        <f>VLOOKUP(B8,Appointments!B8:I26,2)</f>
        <v>Hassan Ali</v>
      </c>
      <c r="E8" s="15" t="str">
        <f>VLOOKUP(B8,Appointments!B8:I26,3)</f>
        <v>D005</v>
      </c>
      <c r="F8" s="32">
        <f>VLOOKUP(E8,Doctor_Information[#ALL],4)</f>
        <v>3000</v>
      </c>
      <c r="G8" s="32">
        <f t="shared" si="1"/>
        <v>3000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15" t="s">
        <v>54</v>
      </c>
      <c r="C9" s="31">
        <f>VLOOKUP(B9,Appointments!B9:I27,4)</f>
        <v>46064</v>
      </c>
      <c r="D9" s="15" t="str">
        <f>VLOOKUP(B9,Appointments!B9:I27,2)</f>
        <v>Ayesha Khan</v>
      </c>
      <c r="E9" s="15" t="str">
        <f>VLOOKUP(B9,Appointments!B9:I27,3)</f>
        <v>D006</v>
      </c>
      <c r="F9" s="32">
        <f>VLOOKUP(E9,Doctor_Information[#ALL],4)</f>
        <v>1600</v>
      </c>
      <c r="G9" s="32">
        <f t="shared" si="1"/>
        <v>1600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15" t="s">
        <v>56</v>
      </c>
      <c r="C10" s="31">
        <f>VLOOKUP(B10,Appointments!B10:I28,4)</f>
        <v>46064</v>
      </c>
      <c r="D10" s="15" t="str">
        <f>VLOOKUP(B10,Appointments!B10:I28,2)</f>
        <v>Zain Malik</v>
      </c>
      <c r="E10" s="15" t="str">
        <f>VLOOKUP(B10,Appointments!B10:I28,3)</f>
        <v>D007</v>
      </c>
      <c r="F10" s="32">
        <f>VLOOKUP(E10,Doctor_Information[#ALL],4)</f>
        <v>2200</v>
      </c>
      <c r="G10" s="32">
        <f t="shared" si="1"/>
        <v>2200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15" t="s">
        <v>58</v>
      </c>
      <c r="C11" s="31">
        <f>VLOOKUP(B11,Appointments!B11:I29,4)</f>
        <v>46064</v>
      </c>
      <c r="D11" s="15" t="str">
        <f>VLOOKUP(B11,Appointments!B11:I29,2)</f>
        <v>Sana Riaz</v>
      </c>
      <c r="E11" s="15" t="str">
        <f>VLOOKUP(B11,Appointments!B11:I29,3)</f>
        <v>D008</v>
      </c>
      <c r="F11" s="32">
        <f>VLOOKUP(E11,Doctor_Information[#ALL],4)</f>
        <v>2100</v>
      </c>
      <c r="G11" s="32">
        <f t="shared" si="1"/>
        <v>2100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15" t="s">
        <v>60</v>
      </c>
      <c r="C12" s="31">
        <f>VLOOKUP(B12,Appointments!B12:I30,4)</f>
        <v>46065</v>
      </c>
      <c r="D12" s="15" t="str">
        <f>VLOOKUP(B12,Appointments!B12:I30,2)</f>
        <v>Usman Farooq</v>
      </c>
      <c r="E12" s="15" t="str">
        <f>VLOOKUP(B12,Appointments!B12:I30,3)</f>
        <v>D009</v>
      </c>
      <c r="F12" s="32">
        <f>VLOOKUP(E12,Doctor_Information[#ALL],4)</f>
        <v>2500</v>
      </c>
      <c r="G12" s="32">
        <f t="shared" si="1"/>
        <v>2500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15" t="s">
        <v>62</v>
      </c>
      <c r="C13" s="31">
        <f>VLOOKUP(B13,Appointments!B13:I31,4)</f>
        <v>46065</v>
      </c>
      <c r="D13" s="15" t="str">
        <f>VLOOKUP(B13,Appointments!B13:I31,2)</f>
        <v>Mariam Shah</v>
      </c>
      <c r="E13" s="15" t="str">
        <f>VLOOKUP(B13,Appointments!B13:I31,3)</f>
        <v>D010</v>
      </c>
      <c r="F13" s="32">
        <f>VLOOKUP(E13,Doctor_Information[#ALL],4)</f>
        <v>1800</v>
      </c>
      <c r="G13" s="32">
        <f t="shared" si="1"/>
        <v>1800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15" t="s">
        <v>64</v>
      </c>
      <c r="C14" s="31">
        <f>VLOOKUP(B14,Appointments!B14:I32,4)</f>
        <v>46065</v>
      </c>
      <c r="D14" s="15" t="str">
        <f>VLOOKUP(B14,Appointments!B14:I32,2)</f>
        <v>Hina Tariq</v>
      </c>
      <c r="E14" s="15" t="str">
        <f>VLOOKUP(B14,Appointments!B14:I32,3)</f>
        <v>D011</v>
      </c>
      <c r="F14" s="32">
        <f>VLOOKUP(E14,Doctor_Information[#ALL],4)</f>
        <v>1500</v>
      </c>
      <c r="G14" s="32">
        <f t="shared" si="1"/>
        <v>1500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15" t="s">
        <v>66</v>
      </c>
      <c r="C15" s="31">
        <f>VLOOKUP(B15,Appointments!B15:I33,4)</f>
        <v>46065</v>
      </c>
      <c r="D15" s="15" t="str">
        <f>VLOOKUP(B15,Appointments!B15:I33,2)</f>
        <v>Aliya Siddiq</v>
      </c>
      <c r="E15" s="15" t="str">
        <f>VLOOKUP(B15,Appointments!B15:I33,3)</f>
        <v>D012</v>
      </c>
      <c r="F15" s="33">
        <v>0.0</v>
      </c>
      <c r="G15" s="32">
        <f t="shared" si="1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15" t="s">
        <v>68</v>
      </c>
      <c r="C16" s="31">
        <f>VLOOKUP(B16,Appointments!B16:I34,4)</f>
        <v>46066</v>
      </c>
      <c r="D16" s="15" t="str">
        <f>VLOOKUP(B16,Appointments!B16:I34,2)</f>
        <v>Imran Qureshi</v>
      </c>
      <c r="E16" s="15" t="str">
        <f>VLOOKUP(B16,Appointments!B16:I34,3)</f>
        <v>D001</v>
      </c>
      <c r="F16" s="32">
        <f>VLOOKUP(E16,Doctor_Information[#ALL],4)</f>
        <v>2500</v>
      </c>
      <c r="G16" s="32">
        <f t="shared" si="1"/>
        <v>2500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15" t="s">
        <v>70</v>
      </c>
      <c r="C17" s="31">
        <f>VLOOKUP(B17,Appointments!B17:I35,4)</f>
        <v>46066</v>
      </c>
      <c r="D17" s="15" t="str">
        <f>VLOOKUP(B17,Appointments!B17:I35,2)</f>
        <v>Zara Aslam</v>
      </c>
      <c r="E17" s="15" t="str">
        <f>VLOOKUP(B17,Appointments!B17:I35,3)</f>
        <v>D002</v>
      </c>
      <c r="F17" s="32">
        <f>VLOOKUP(E17,Doctor_Information[#ALL],4)</f>
        <v>1800</v>
      </c>
      <c r="G17" s="32">
        <f t="shared" si="1"/>
        <v>1800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15" t="s">
        <v>72</v>
      </c>
      <c r="C18" s="31">
        <f>VLOOKUP(B18,Appointments!B18:I36,4)</f>
        <v>46066</v>
      </c>
      <c r="D18" s="15" t="str">
        <f>VLOOKUP(B18,Appointments!B18:I36,2)</f>
        <v>Bilal Javed</v>
      </c>
      <c r="E18" s="15" t="str">
        <f>VLOOKUP(B18,Appointments!B18:I36,3)</f>
        <v>D003</v>
      </c>
      <c r="F18" s="32">
        <f>VLOOKUP(E18,Doctor_Information[#ALL],4)</f>
        <v>1500</v>
      </c>
      <c r="G18" s="32">
        <f t="shared" si="1"/>
        <v>1500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15" t="s">
        <v>74</v>
      </c>
      <c r="C19" s="31">
        <f>VLOOKUP(B19,Appointments!B19:I37,4)</f>
        <v>46066</v>
      </c>
      <c r="D19" s="15" t="str">
        <f>VLOOKUP(B19,Appointments!B19:I37,2)</f>
        <v>Maria Khan</v>
      </c>
      <c r="E19" s="15" t="str">
        <f>VLOOKUP(B19,Appointments!B19:I37,3)</f>
        <v>D004</v>
      </c>
      <c r="F19" s="32">
        <f>VLOOKUP(E19,Doctor_Information[#ALL],4)</f>
        <v>2000</v>
      </c>
      <c r="G19" s="32">
        <f t="shared" si="1"/>
        <v>2000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15" t="s">
        <v>76</v>
      </c>
      <c r="C20" s="31">
        <f>VLOOKUP(B20,Appointments!B20:I38,4)</f>
        <v>46067</v>
      </c>
      <c r="D20" s="15" t="str">
        <f>VLOOKUP(B20,Appointments!B20:I38,2)</f>
        <v>Shahzad Farooq</v>
      </c>
      <c r="E20" s="15" t="str">
        <f>VLOOKUP(B20,Appointments!B20:I38,3)</f>
        <v>D005</v>
      </c>
      <c r="F20" s="33">
        <v>0.0</v>
      </c>
      <c r="G20" s="32">
        <f t="shared" si="1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15" t="s">
        <v>78</v>
      </c>
      <c r="C21" s="31">
        <f>VLOOKUP(B21,Appointments!B21:I39,4)</f>
        <v>46067</v>
      </c>
      <c r="D21" s="15" t="str">
        <f>VLOOKUP(B21,Appointments!B21:I39,2)</f>
        <v>Lubna Ahmed</v>
      </c>
      <c r="E21" s="15" t="str">
        <f>VLOOKUP(B21,Appointments!B21:I39,3)</f>
        <v>D006</v>
      </c>
      <c r="F21" s="32">
        <f>VLOOKUP(E21,Doctor_Information[#ALL],4)</f>
        <v>1600</v>
      </c>
      <c r="G21" s="32">
        <f t="shared" si="1"/>
        <v>1600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</sheetData>
  <dataValidations>
    <dataValidation type="custom" allowBlank="1" showDropDown="1" sqref="C4:C21">
      <formula1>OR(NOT(ISERROR(DATEVALUE(C4))), AND(ISNUMBER(C4), LEFT(CELL("format", C4))="D"))</formula1>
    </dataValidation>
    <dataValidation type="custom" allowBlank="1" showDropDown="1" sqref="F4:G21">
      <formula1>AND(ISNUMBER(F4),(NOT(OR(NOT(ISERROR(DATEVALUE(F4))), AND(ISNUMBER(F4), LEFT(CELL("format", F4))="D")))))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5.88"/>
  </cols>
  <sheetData>
    <row r="4" ht="22.5" customHeight="1">
      <c r="B4" s="15" t="s">
        <v>82</v>
      </c>
      <c r="C4" s="15" t="s">
        <v>83</v>
      </c>
      <c r="D4" s="15" t="s">
        <v>84</v>
      </c>
    </row>
    <row r="5" ht="22.5" customHeight="1">
      <c r="B5" s="34">
        <f t="array" ref="B5:B9">UNIQUE(Billing!C4:C21)</f>
        <v>46063</v>
      </c>
      <c r="C5" s="19">
        <f>COUNTIF(Appointments!E4:E22,B5)</f>
        <v>4</v>
      </c>
      <c r="D5" s="19">
        <f>SUMIF(Billing!C4:C21,B5,Billing!G4:G21)</f>
        <v>6000</v>
      </c>
    </row>
    <row r="6" ht="22.5" customHeight="1">
      <c r="B6" s="34">
        <v>46064.0</v>
      </c>
      <c r="C6" s="19">
        <f>COUNTIF(Appointments!E5:E23,B6)</f>
        <v>4</v>
      </c>
      <c r="D6" s="19">
        <f>SUMIF(Billing!C5:C22,B6,Billing!G5:G22)</f>
        <v>8900</v>
      </c>
    </row>
    <row r="7" ht="22.5" customHeight="1">
      <c r="B7" s="34">
        <v>46065.0</v>
      </c>
      <c r="C7" s="19">
        <f>COUNTIF(Appointments!E6:E24,B7)</f>
        <v>4</v>
      </c>
      <c r="D7" s="19">
        <f>SUMIF(Billing!C6:C23,B7,Billing!G6:G23)</f>
        <v>5800</v>
      </c>
    </row>
    <row r="8" ht="22.5" customHeight="1">
      <c r="B8" s="34">
        <v>46066.0</v>
      </c>
      <c r="C8" s="19">
        <f>COUNTIF(Appointments!E7:E25,B8)</f>
        <v>4</v>
      </c>
      <c r="D8" s="19">
        <f>SUMIF(Billing!C7:C24,B8,Billing!G7:G24)</f>
        <v>7800</v>
      </c>
    </row>
    <row r="9" ht="22.5" customHeight="1">
      <c r="B9" s="34">
        <v>46067.0</v>
      </c>
      <c r="C9" s="19">
        <f>COUNTIF(Appointments!E8:E26,B9)</f>
        <v>2</v>
      </c>
      <c r="D9" s="19">
        <f>SUMIF(Billing!C8:C25,B9,Billing!G8:G25)</f>
        <v>1600</v>
      </c>
    </row>
  </sheetData>
  <dataValidations>
    <dataValidation type="custom" allowBlank="1" showDropDown="1" sqref="B5:B9">
      <formula1>OR(NOT(ISERROR(DATEVALUE(B5))), AND(ISNUMBER(B5), LEFT(CELL("format", B5))="D"))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88"/>
    <col customWidth="1" min="4" max="4" width="18.25"/>
    <col customWidth="1" min="5" max="5" width="17.25"/>
  </cols>
  <sheetData>
    <row r="4">
      <c r="B4" s="1"/>
      <c r="C4" s="1"/>
      <c r="D4" s="1"/>
      <c r="E4" s="1"/>
    </row>
    <row r="5">
      <c r="B5" s="2"/>
      <c r="C5" s="2"/>
      <c r="D5" s="2"/>
      <c r="E5" s="2"/>
    </row>
    <row r="6">
      <c r="B6" s="2"/>
      <c r="C6" s="2"/>
      <c r="D6" s="2"/>
      <c r="E6" s="2"/>
    </row>
    <row r="7">
      <c r="B7" s="2"/>
      <c r="C7" s="2"/>
      <c r="D7" s="2"/>
      <c r="E7" s="2"/>
    </row>
    <row r="8" ht="22.5" customHeight="1">
      <c r="B8" s="1"/>
      <c r="C8" s="15" t="s">
        <v>2</v>
      </c>
      <c r="D8" s="15" t="s">
        <v>83</v>
      </c>
      <c r="E8" s="15" t="s">
        <v>84</v>
      </c>
    </row>
    <row r="9" ht="22.5" customHeight="1">
      <c r="B9" s="2"/>
      <c r="C9" s="19" t="str">
        <f>VLOOKUP(Billing!E4,Doctor_Information[#ALL],2)</f>
        <v>Dr. Ahmed Khan</v>
      </c>
      <c r="D9" s="19">
        <f>COUNTIF(Appointments!D5:D22,'Doctor Information'!C6)</f>
        <v>2</v>
      </c>
      <c r="E9" s="19">
        <f>SUMIF(Billing!E4:E21,'Doctor Information'!C6,Billing!G4:G21)</f>
        <v>5000</v>
      </c>
    </row>
    <row r="10" ht="22.5" customHeight="1">
      <c r="B10" s="2"/>
      <c r="C10" s="19" t="str">
        <f>VLOOKUP(Billing!E5,Doctor_Information[],2)</f>
        <v>Dr. Fatima Iqbal</v>
      </c>
      <c r="D10" s="19">
        <f>COUNTIF(Appointments!D6:D23,'Doctor Information'!C7)</f>
        <v>2</v>
      </c>
      <c r="E10" s="19">
        <f>SUMIF(Billing!E5:E22,'Doctor Information'!C7,Billing!G5:G22)</f>
        <v>1800</v>
      </c>
    </row>
    <row r="11" ht="22.5" customHeight="1">
      <c r="B11" s="2"/>
      <c r="C11" s="19" t="str">
        <f>VLOOKUP(Billing!E6,Doctor_Information[],2)</f>
        <v>Dr. Ali Raza</v>
      </c>
      <c r="D11" s="19">
        <f>COUNTIF(Appointments!D7:D24,'Doctor Information'!C8)</f>
        <v>2</v>
      </c>
      <c r="E11" s="19">
        <f>SUMIF(Billing!E6:E23,'Doctor Information'!C8,Billing!G6:G23)</f>
        <v>3000</v>
      </c>
    </row>
    <row r="12" ht="22.5" customHeight="1">
      <c r="B12" s="2"/>
      <c r="C12" s="19" t="str">
        <f>VLOOKUP(Billing!E7,Doctor_Information[],2)</f>
        <v>Dr. Sana Malik</v>
      </c>
      <c r="D12" s="19">
        <f>COUNTIF(Appointments!D8:D25,'Doctor Information'!C9)</f>
        <v>2</v>
      </c>
      <c r="E12" s="19">
        <f>SUMIF(Billing!E7:E24,'Doctor Information'!C9,Billing!G7:G24)</f>
        <v>4000</v>
      </c>
    </row>
    <row r="13" ht="22.5" customHeight="1">
      <c r="B13" s="2"/>
      <c r="C13" s="19" t="str">
        <f>VLOOKUP(Billing!E8,Doctor_Information[],2)</f>
        <v>Dr. Usman Shah</v>
      </c>
      <c r="D13" s="19">
        <f>COUNTIF(Appointments!D9:D26,'Doctor Information'!C10)</f>
        <v>2</v>
      </c>
      <c r="E13" s="19">
        <f>SUMIF(Billing!E8:E25,'Doctor Information'!C10,Billing!G8:G25)</f>
        <v>3000</v>
      </c>
    </row>
    <row r="14" ht="22.5" customHeight="1">
      <c r="B14" s="2"/>
      <c r="C14" s="19" t="str">
        <f>VLOOKUP(Billing!E9,Doctor_Information[],2)</f>
        <v>Dr. Ayesha Siddiq</v>
      </c>
      <c r="D14" s="19">
        <f>COUNTIF(Appointments!D10:D27,'Doctor Information'!C11)</f>
        <v>2</v>
      </c>
      <c r="E14" s="19">
        <f>SUMIF(Billing!E9:E26,'Doctor Information'!C11,Billing!G9:G26)</f>
        <v>3200</v>
      </c>
    </row>
    <row r="15" ht="22.5" customHeight="1">
      <c r="B15" s="2"/>
      <c r="C15" s="19" t="str">
        <f>VLOOKUP(Billing!E10,Doctor_Information[],2)</f>
        <v>Dr. Hassan Tariq</v>
      </c>
      <c r="D15" s="19">
        <f>COUNTIF(Appointments!D11:D28,'Doctor Information'!C12)</f>
        <v>1</v>
      </c>
      <c r="E15" s="19">
        <f>SUMIF(Billing!E10:E27,'Doctor Information'!C12,Billing!G10:G27)</f>
        <v>2200</v>
      </c>
    </row>
    <row r="16" ht="22.5" customHeight="1">
      <c r="B16" s="2"/>
      <c r="C16" s="19" t="str">
        <f>VLOOKUP(Billing!E11,Doctor_Information[],2)</f>
        <v>Dr. Maria Qureshi</v>
      </c>
      <c r="D16" s="19">
        <f>COUNTIF(Appointments!D12:D29,'Doctor Information'!C13)</f>
        <v>1</v>
      </c>
      <c r="E16" s="19">
        <f>SUMIF(Billing!E11:E28,'Doctor Information'!C13,Billing!G11:G28)</f>
        <v>2100</v>
      </c>
    </row>
    <row r="17" ht="22.5" customHeight="1">
      <c r="B17" s="2"/>
      <c r="C17" s="19" t="str">
        <f>VLOOKUP(Billing!E12,Doctor_Information[],2)</f>
        <v>Dr. Imran Aslam</v>
      </c>
      <c r="D17" s="19">
        <f>COUNTIF(Appointments!D13:D30,'Doctor Information'!C14)</f>
        <v>1</v>
      </c>
      <c r="E17" s="19">
        <f>SUMIF(Billing!E12:E29,'Doctor Information'!C14,Billing!G12:G29)</f>
        <v>2500</v>
      </c>
    </row>
    <row r="18" ht="22.5" customHeight="1">
      <c r="B18" s="2"/>
      <c r="C18" s="19" t="str">
        <f>VLOOKUP(Billing!E13,Doctor_Information[],2)</f>
        <v>Dr. Hina Javed</v>
      </c>
      <c r="D18" s="19">
        <f>COUNTIF(Appointments!D14:D31,'Doctor Information'!C15)</f>
        <v>1</v>
      </c>
      <c r="E18" s="19">
        <f>SUMIF(Billing!E13:E30,'Doctor Information'!C15,Billing!G13:G30)</f>
        <v>1800</v>
      </c>
    </row>
    <row r="19" ht="22.5" customHeight="1">
      <c r="B19" s="2"/>
      <c r="C19" s="19" t="str">
        <f>VLOOKUP(Billing!E14,Doctor_Information[],2)</f>
        <v>Dr. Bilal Farooq</v>
      </c>
      <c r="D19" s="19">
        <f>COUNTIF(Appointments!D15:D32,'Doctor Information'!C16)</f>
        <v>1</v>
      </c>
      <c r="E19" s="19">
        <f>SUMIF(Billing!E14:E31,'Doctor Information'!C16,Billing!G14:G31)</f>
        <v>1500</v>
      </c>
    </row>
    <row r="20" ht="22.5" customHeight="1">
      <c r="B20" s="2"/>
      <c r="C20" s="19" t="str">
        <f>VLOOKUP(Billing!E15,Doctor_Information[],2)</f>
        <v>Dr. Samina Riaz</v>
      </c>
      <c r="D20" s="19">
        <f>COUNTIF(Appointments!D16:D33,'Doctor Information'!C17)</f>
        <v>1</v>
      </c>
      <c r="E20" s="19">
        <f>SUMIF(Billing!E15:E32,'Doctor Information'!C17,Billing!G15:G32)</f>
        <v>0</v>
      </c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</sheetData>
  <drawing r:id="rId1"/>
  <tableParts count="1">
    <tablePart r:id="rId3"/>
  </tableParts>
</worksheet>
</file>